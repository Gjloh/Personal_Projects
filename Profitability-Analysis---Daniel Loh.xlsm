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 Loh Guo Juin\Desktop\Excel VBA Coursera\Excel VBA Part 3\Monte Carlo Simulation Project\"/>
    </mc:Choice>
  </mc:AlternateContent>
  <xr:revisionPtr revIDLastSave="0" documentId="13_ncr:1_{3C55393C-F15E-4E6B-81FD-F5ACA19B44C5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Main" sheetId="1" r:id="rId1"/>
    <sheet name="Histogram" sheetId="66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20" i="1" l="1"/>
  <c r="L20" i="1" s="1"/>
  <c r="M20" i="1" s="1"/>
  <c r="K16" i="1"/>
  <c r="L16" i="1" s="1"/>
  <c r="M16" i="1" s="1"/>
  <c r="K12" i="1"/>
  <c r="L12" i="1" s="1"/>
  <c r="M12" i="1" s="1"/>
  <c r="K14" i="1"/>
  <c r="L14" i="1" s="1"/>
  <c r="M14" i="1" s="1"/>
  <c r="K21" i="1"/>
  <c r="L21" i="1" s="1"/>
  <c r="M21" i="1" s="1"/>
  <c r="K24" i="1"/>
  <c r="L24" i="1" s="1"/>
  <c r="M24" i="1" s="1"/>
  <c r="K22" i="1"/>
  <c r="L22" i="1" s="1"/>
  <c r="M22" i="1" s="1"/>
  <c r="K18" i="1"/>
  <c r="L18" i="1" s="1"/>
  <c r="M18" i="1" s="1"/>
  <c r="K13" i="1"/>
  <c r="L13" i="1" s="1"/>
  <c r="M13" i="1" s="1"/>
  <c r="K15" i="1"/>
  <c r="L15" i="1" s="1"/>
  <c r="M15" i="1" s="1"/>
  <c r="K17" i="1"/>
  <c r="L17" i="1" s="1"/>
  <c r="M17" i="1" s="1"/>
  <c r="K19" i="1"/>
  <c r="L19" i="1" s="1"/>
  <c r="M19" i="1" s="1"/>
  <c r="K23" i="1"/>
  <c r="L23" i="1" s="1"/>
  <c r="M23" i="1" s="1"/>
  <c r="L11" i="1"/>
  <c r="M11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<sst xmlns="http://schemas.openxmlformats.org/spreadsheetml/2006/main" count="28" uniqueCount="23">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</sst>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4" fontId="0" fillId="2" borderId="4" xfId="2" applyNumberFormat="1" applyFont="1" applyFill="1" applyBorder="1"/>
    <xf numFmtId="165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5" fontId="0" fillId="2" borderId="4" xfId="0" applyNumberFormat="1" applyFill="1" applyBorder="1"/>
    <xf numFmtId="165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-108</c:v>
                </c:pt>
                <c:pt idx="1">
                  <c:v>-100</c:v>
                </c:pt>
                <c:pt idx="2">
                  <c:v>-92</c:v>
                </c:pt>
                <c:pt idx="3">
                  <c:v>-84</c:v>
                </c:pt>
                <c:pt idx="4">
                  <c:v>-76</c:v>
                </c:pt>
                <c:pt idx="5">
                  <c:v>-68</c:v>
                </c:pt>
                <c:pt idx="6">
                  <c:v>-60</c:v>
                </c:pt>
                <c:pt idx="7">
                  <c:v>-52</c:v>
                </c:pt>
                <c:pt idx="8">
                  <c:v>-44</c:v>
                </c:pt>
                <c:pt idx="9">
                  <c:v>-36</c:v>
                </c:pt>
                <c:pt idx="10">
                  <c:v>-28</c:v>
                </c:pt>
                <c:pt idx="11">
                  <c:v>-20</c:v>
                </c:pt>
                <c:pt idx="12">
                  <c:v>-12</c:v>
                </c:pt>
                <c:pt idx="13">
                  <c:v>-4</c:v>
                </c:pt>
                <c:pt idx="14">
                  <c:v>4</c:v>
                </c:pt>
                <c:pt idx="15">
                  <c:v>12</c:v>
                </c:pt>
                <c:pt idx="16">
                  <c:v>20</c:v>
                </c:pt>
                <c:pt idx="17">
                  <c:v>28</c:v>
                </c:pt>
                <c:pt idx="18">
                  <c:v>36</c:v>
                </c:pt>
                <c:pt idx="19">
                  <c:v>44</c:v>
                </c:pt>
                <c:pt idx="20">
                  <c:v>52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4</c:v>
                </c:pt>
                <c:pt idx="1">
                  <c:v>4</c:v>
                </c:pt>
                <c:pt idx="2">
                  <c:v>15</c:v>
                </c:pt>
                <c:pt idx="3">
                  <c:v>19</c:v>
                </c:pt>
                <c:pt idx="4">
                  <c:v>30</c:v>
                </c:pt>
                <c:pt idx="5">
                  <c:v>46</c:v>
                </c:pt>
                <c:pt idx="6">
                  <c:v>71</c:v>
                </c:pt>
                <c:pt idx="7">
                  <c:v>99</c:v>
                </c:pt>
                <c:pt idx="8">
                  <c:v>107</c:v>
                </c:pt>
                <c:pt idx="9">
                  <c:v>117</c:v>
                </c:pt>
                <c:pt idx="10">
                  <c:v>147</c:v>
                </c:pt>
                <c:pt idx="11">
                  <c:v>95</c:v>
                </c:pt>
                <c:pt idx="12">
                  <c:v>94</c:v>
                </c:pt>
                <c:pt idx="13">
                  <c:v>50</c:v>
                </c:pt>
                <c:pt idx="14">
                  <c:v>41</c:v>
                </c:pt>
                <c:pt idx="15">
                  <c:v>27</c:v>
                </c:pt>
                <c:pt idx="16">
                  <c:v>11</c:v>
                </c:pt>
                <c:pt idx="17">
                  <c:v>11</c:v>
                </c:pt>
                <c:pt idx="18">
                  <c:v>7</c:v>
                </c:pt>
                <c:pt idx="19">
                  <c:v>2</c:v>
                </c:pt>
                <c:pt idx="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2-4EE1-88F1-A5D321A0F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17567"/>
        <c:axId val="1657659567"/>
      </c:barChart>
      <c:catAx>
        <c:axId val="16654175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9567"/>
        <c:crosses val="autoZero"/>
        <c:auto val="1"/>
        <c:lblAlgn val="ctr"/>
        <c:lblOffset val="100"/>
        <c:noMultiLvlLbl val="0"/>
      </c:catAx>
      <c:valAx>
        <c:axId val="165765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17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9C5AB3F-CDC6-40FA-A521-26F6EB582C1F}">
  <sheetPr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25</xdr:row>
          <xdr:rowOff>83820</xdr:rowOff>
        </xdr:from>
        <xdr:to>
          <xdr:col>4</xdr:col>
          <xdr:colOff>403860</xdr:colOff>
          <xdr:row>27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F35C42-2448-44ED-AF24-9FA7F42E016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>
      <selection activeCell="J12" sqref="J12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88671875" bestFit="1" customWidth="1"/>
    <col min="8" max="8" width="11" customWidth="1"/>
    <col min="9" max="9" width="9.21875" bestFit="1" customWidth="1"/>
    <col min="10" max="10" width="9.109375" bestFit="1" customWidth="1"/>
  </cols>
  <sheetData>
    <row r="1" spans="1:16" x14ac:dyDescent="0.3">
      <c r="A1" t="s">
        <v>0</v>
      </c>
    </row>
    <row r="2" spans="1:16" ht="15" thickBot="1" x14ac:dyDescent="0.35"/>
    <row r="3" spans="1:16" x14ac:dyDescent="0.3">
      <c r="A3" t="s">
        <v>1</v>
      </c>
      <c r="B3" s="5">
        <v>-8</v>
      </c>
      <c r="D3" t="s">
        <v>2</v>
      </c>
      <c r="E3" s="15">
        <v>29.557255304988075</v>
      </c>
      <c r="G3" t="s">
        <v>3</v>
      </c>
      <c r="H3" s="5">
        <v>-10.391711089885243</v>
      </c>
    </row>
    <row r="4" spans="1:16" ht="15" thickBot="1" x14ac:dyDescent="0.35">
      <c r="A4" t="s">
        <v>4</v>
      </c>
      <c r="B4" s="6">
        <v>-2.9577451151588763</v>
      </c>
      <c r="D4" t="s">
        <v>5</v>
      </c>
      <c r="E4" s="7">
        <v>0.4</v>
      </c>
      <c r="G4" t="s">
        <v>6</v>
      </c>
      <c r="H4" s="8">
        <v>0.1355207395553589</v>
      </c>
    </row>
    <row r="5" spans="1:16" x14ac:dyDescent="0.3">
      <c r="A5" t="s">
        <v>7</v>
      </c>
      <c r="B5" s="9">
        <v>-180.53837736868701</v>
      </c>
      <c r="H5" s="10"/>
    </row>
    <row r="6" spans="1:16" x14ac:dyDescent="0.3">
      <c r="A6" t="s">
        <v>8</v>
      </c>
      <c r="B6" s="9">
        <v>-16.795949637889862</v>
      </c>
      <c r="E6" t="s">
        <v>9</v>
      </c>
      <c r="H6" s="10"/>
    </row>
    <row r="7" spans="1:16" ht="15" thickBot="1" x14ac:dyDescent="0.35">
      <c r="A7" t="s">
        <v>10</v>
      </c>
      <c r="B7" s="14">
        <v>-20.50287388899536</v>
      </c>
      <c r="E7" t="s">
        <v>11</v>
      </c>
      <c r="H7" s="10"/>
    </row>
    <row r="8" spans="1:16" x14ac:dyDescent="0.3">
      <c r="M8" t="s">
        <v>12</v>
      </c>
    </row>
    <row r="9" spans="1:16" x14ac:dyDescent="0.3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3">
      <c r="A10">
        <v>1</v>
      </c>
      <c r="B10" s="11">
        <f>0.5*CTDC</f>
        <v>-90.269188684343504</v>
      </c>
      <c r="C10" s="11"/>
      <c r="D10" s="11">
        <f>Cland</f>
        <v>-8</v>
      </c>
      <c r="E10" s="11"/>
      <c r="F10" s="11"/>
      <c r="G10" s="11"/>
      <c r="H10" s="11"/>
      <c r="I10" s="11"/>
      <c r="J10" s="11"/>
      <c r="L10">
        <f>B10+D10</f>
        <v>-98.269188684343504</v>
      </c>
      <c r="M10" s="11">
        <f t="shared" ref="M10:M24" si="0">L10/(1+i)^(A10-1)</f>
        <v>-98.269188684343504</v>
      </c>
      <c r="N10" s="11">
        <f>M10</f>
        <v>-98.269188684343504</v>
      </c>
    </row>
    <row r="11" spans="1:16" x14ac:dyDescent="0.3">
      <c r="A11">
        <v>2</v>
      </c>
      <c r="B11" s="11">
        <f>0.5*CTDC</f>
        <v>-90.269188684343504</v>
      </c>
      <c r="C11" s="11">
        <f>WC</f>
        <v>-16.795949637889862</v>
      </c>
      <c r="D11" s="11"/>
      <c r="E11" s="11"/>
      <c r="F11" s="11">
        <f>Cstart</f>
        <v>-20.50287388899536</v>
      </c>
      <c r="G11" s="11"/>
      <c r="H11" s="11"/>
      <c r="I11" s="11"/>
      <c r="J11" s="11"/>
      <c r="L11">
        <f>B11+C11+F11</f>
        <v>-127.56801221122873</v>
      </c>
      <c r="M11" s="11">
        <f t="shared" si="0"/>
        <v>-112.34318120968987</v>
      </c>
      <c r="N11" s="11">
        <f>N10+M11</f>
        <v>-210.61236989403338</v>
      </c>
    </row>
    <row r="12" spans="1:16" x14ac:dyDescent="0.3">
      <c r="A12">
        <v>3</v>
      </c>
      <c r="B12" s="11"/>
      <c r="C12" s="11"/>
      <c r="D12" s="11"/>
      <c r="E12" s="11">
        <f t="shared" ref="E12:E24" si="1">Croyal</f>
        <v>-2.9577451151588763</v>
      </c>
      <c r="F12" s="11"/>
      <c r="G12" s="11"/>
      <c r="H12" s="11">
        <f>P12*-CTDC</f>
        <v>25.798934125985372</v>
      </c>
      <c r="I12" s="11">
        <f>0.5*S</f>
        <v>14.778627652494038</v>
      </c>
      <c r="J12" s="11">
        <f>0.5*COS</f>
        <v>-5.1958555449426216</v>
      </c>
      <c r="K12" s="11">
        <f>(1-tax)*(I12-J12-H12)</f>
        <v>-3.4946705571292282</v>
      </c>
      <c r="L12" s="11">
        <f t="shared" ref="L12:L23" si="2">K12+H12+E12</f>
        <v>19.346518453697268</v>
      </c>
      <c r="M12" s="11">
        <f t="shared" si="0"/>
        <v>15.00419433338285</v>
      </c>
      <c r="N12" s="11">
        <f t="shared" ref="N12:N23" si="3">N11+M12</f>
        <v>-195.60817556065052</v>
      </c>
      <c r="P12" s="12">
        <v>0.1429</v>
      </c>
    </row>
    <row r="13" spans="1:16" x14ac:dyDescent="0.3">
      <c r="A13">
        <v>4</v>
      </c>
      <c r="B13" s="11"/>
      <c r="C13" s="11"/>
      <c r="D13" s="11"/>
      <c r="E13" s="11">
        <f t="shared" si="1"/>
        <v>-2.9577451151588763</v>
      </c>
      <c r="F13" s="11"/>
      <c r="G13" s="11"/>
      <c r="H13" s="11">
        <f t="shared" ref="H13:H19" si="4">P13*-CTDC</f>
        <v>44.213848617591452</v>
      </c>
      <c r="I13" s="11">
        <f>0.8*S</f>
        <v>23.645804243990462</v>
      </c>
      <c r="J13" s="11">
        <f>0.8*COS</f>
        <v>-8.3133688719081942</v>
      </c>
      <c r="K13" s="11">
        <f t="shared" ref="K13:K24" si="5">(1-tax)*(I13-J13-H13)</f>
        <v>-7.3528053010156764</v>
      </c>
      <c r="L13" s="11">
        <f t="shared" si="2"/>
        <v>33.903298201416895</v>
      </c>
      <c r="M13" s="11">
        <f t="shared" si="0"/>
        <v>23.155637246840865</v>
      </c>
      <c r="N13" s="11">
        <f t="shared" si="3"/>
        <v>-172.45253831380967</v>
      </c>
      <c r="P13" s="12">
        <v>0.24490000000000001</v>
      </c>
    </row>
    <row r="14" spans="1:16" x14ac:dyDescent="0.3">
      <c r="A14">
        <v>5</v>
      </c>
      <c r="B14" s="11"/>
      <c r="C14" s="11"/>
      <c r="D14" s="11"/>
      <c r="E14" s="11">
        <f t="shared" si="1"/>
        <v>-2.9577451151588763</v>
      </c>
      <c r="F14" s="11"/>
      <c r="G14" s="11"/>
      <c r="H14" s="11">
        <f t="shared" si="4"/>
        <v>31.576162201783358</v>
      </c>
      <c r="I14" s="11">
        <f t="shared" ref="I14:I24" si="6">S</f>
        <v>29.557255304988075</v>
      </c>
      <c r="J14" s="11">
        <f t="shared" ref="J14:J24" si="7">COS</f>
        <v>-10.391711089885243</v>
      </c>
      <c r="K14" s="11">
        <f t="shared" si="5"/>
        <v>5.0236825158539746</v>
      </c>
      <c r="L14" s="11">
        <f t="shared" si="2"/>
        <v>33.642099602478453</v>
      </c>
      <c r="M14" s="11">
        <f t="shared" si="0"/>
        <v>20.234981390886723</v>
      </c>
      <c r="N14" s="11">
        <f t="shared" si="3"/>
        <v>-152.21755692292294</v>
      </c>
      <c r="P14" s="12">
        <v>0.1749</v>
      </c>
    </row>
    <row r="15" spans="1:16" x14ac:dyDescent="0.3">
      <c r="A15">
        <v>6</v>
      </c>
      <c r="B15" s="11"/>
      <c r="C15" s="11"/>
      <c r="D15" s="11"/>
      <c r="E15" s="11">
        <f t="shared" si="1"/>
        <v>-2.9577451151588763</v>
      </c>
      <c r="F15" s="11"/>
      <c r="G15" s="11"/>
      <c r="H15" s="11">
        <f t="shared" si="4"/>
        <v>22.549243333349008</v>
      </c>
      <c r="I15" s="11">
        <f t="shared" si="6"/>
        <v>29.557255304988075</v>
      </c>
      <c r="J15" s="11">
        <f t="shared" si="7"/>
        <v>-10.391711089885243</v>
      </c>
      <c r="K15" s="11">
        <f t="shared" si="5"/>
        <v>10.439833836914586</v>
      </c>
      <c r="L15" s="11">
        <f t="shared" si="2"/>
        <v>30.031332055104716</v>
      </c>
      <c r="M15" s="11">
        <f t="shared" si="0"/>
        <v>15.907401484095184</v>
      </c>
      <c r="N15" s="11">
        <f t="shared" si="3"/>
        <v>-136.31015543882776</v>
      </c>
      <c r="P15" s="12">
        <v>0.1249</v>
      </c>
    </row>
    <row r="16" spans="1:16" x14ac:dyDescent="0.3">
      <c r="A16">
        <v>7</v>
      </c>
      <c r="B16" s="11"/>
      <c r="C16" s="11"/>
      <c r="D16" s="11"/>
      <c r="E16" s="11">
        <f t="shared" si="1"/>
        <v>-2.9577451151588763</v>
      </c>
      <c r="F16" s="11"/>
      <c r="G16" s="11"/>
      <c r="H16" s="11">
        <f t="shared" si="4"/>
        <v>16.122077099023752</v>
      </c>
      <c r="I16" s="11">
        <f t="shared" si="6"/>
        <v>29.557255304988075</v>
      </c>
      <c r="J16" s="11">
        <f t="shared" si="7"/>
        <v>-10.391711089885243</v>
      </c>
      <c r="K16" s="11">
        <f t="shared" si="5"/>
        <v>14.296133577509739</v>
      </c>
      <c r="L16" s="11">
        <f t="shared" si="2"/>
        <v>27.460465561374615</v>
      </c>
      <c r="M16" s="11">
        <f t="shared" si="0"/>
        <v>12.809656132120288</v>
      </c>
      <c r="N16" s="11">
        <f t="shared" si="3"/>
        <v>-123.50049930670747</v>
      </c>
      <c r="P16" s="12">
        <v>8.9300000000000004E-2</v>
      </c>
    </row>
    <row r="17" spans="1:16" x14ac:dyDescent="0.3">
      <c r="A17">
        <v>8</v>
      </c>
      <c r="B17" s="11"/>
      <c r="C17" s="11"/>
      <c r="D17" s="11"/>
      <c r="E17" s="11">
        <f t="shared" si="1"/>
        <v>-2.9577451151588763</v>
      </c>
      <c r="F17" s="11"/>
      <c r="G17" s="11"/>
      <c r="H17" s="11">
        <f t="shared" si="4"/>
        <v>16.10402326128688</v>
      </c>
      <c r="I17" s="11">
        <f t="shared" si="6"/>
        <v>29.557255304988075</v>
      </c>
      <c r="J17" s="11">
        <f t="shared" si="7"/>
        <v>-10.391711089885243</v>
      </c>
      <c r="K17" s="11">
        <f t="shared" si="5"/>
        <v>14.306965880151862</v>
      </c>
      <c r="L17" s="11">
        <f t="shared" si="2"/>
        <v>27.453244026279865</v>
      </c>
      <c r="M17" s="11">
        <f t="shared" si="0"/>
        <v>11.277898334315321</v>
      </c>
      <c r="N17" s="11">
        <f t="shared" si="3"/>
        <v>-112.22260097239214</v>
      </c>
      <c r="P17" s="12">
        <v>8.9200000000000002E-2</v>
      </c>
    </row>
    <row r="18" spans="1:16" x14ac:dyDescent="0.3">
      <c r="A18">
        <v>9</v>
      </c>
      <c r="B18" s="11"/>
      <c r="C18" s="11"/>
      <c r="D18" s="11"/>
      <c r="E18" s="11">
        <f t="shared" si="1"/>
        <v>-2.9577451151588763</v>
      </c>
      <c r="F18" s="11"/>
      <c r="G18" s="11"/>
      <c r="H18" s="11">
        <f t="shared" si="4"/>
        <v>16.122077099023752</v>
      </c>
      <c r="I18" s="11">
        <f t="shared" si="6"/>
        <v>29.557255304988075</v>
      </c>
      <c r="J18" s="11">
        <f t="shared" si="7"/>
        <v>-10.391711089885243</v>
      </c>
      <c r="K18" s="11">
        <f t="shared" si="5"/>
        <v>14.296133577509739</v>
      </c>
      <c r="L18" s="11">
        <f t="shared" si="2"/>
        <v>27.460465561374615</v>
      </c>
      <c r="M18" s="11">
        <f t="shared" si="0"/>
        <v>9.9345301021544525</v>
      </c>
      <c r="N18" s="11">
        <f t="shared" si="3"/>
        <v>-102.28807087023769</v>
      </c>
      <c r="P18" s="12">
        <v>8.9300000000000004E-2</v>
      </c>
    </row>
    <row r="19" spans="1:16" x14ac:dyDescent="0.3">
      <c r="A19">
        <v>10</v>
      </c>
      <c r="B19" s="11"/>
      <c r="C19" s="11"/>
      <c r="D19" s="11"/>
      <c r="E19" s="11">
        <f t="shared" si="1"/>
        <v>-2.9577451151588763</v>
      </c>
      <c r="F19" s="11"/>
      <c r="G19" s="11"/>
      <c r="H19" s="11">
        <f t="shared" si="4"/>
        <v>8.0520116306434399</v>
      </c>
      <c r="I19" s="11">
        <f t="shared" si="6"/>
        <v>29.557255304988075</v>
      </c>
      <c r="J19" s="11">
        <f t="shared" si="7"/>
        <v>-10.391711089885243</v>
      </c>
      <c r="K19" s="11">
        <f t="shared" si="5"/>
        <v>19.138172858537924</v>
      </c>
      <c r="L19" s="11">
        <f t="shared" si="2"/>
        <v>24.232439374022487</v>
      </c>
      <c r="M19" s="11">
        <f t="shared" si="0"/>
        <v>7.7204301527819865</v>
      </c>
      <c r="N19" s="11">
        <f t="shared" si="3"/>
        <v>-94.567640717455703</v>
      </c>
      <c r="P19" s="12">
        <v>4.4600000000000001E-2</v>
      </c>
    </row>
    <row r="20" spans="1:16" x14ac:dyDescent="0.3">
      <c r="A20">
        <v>11</v>
      </c>
      <c r="B20" s="11"/>
      <c r="C20" s="11"/>
      <c r="D20" s="11"/>
      <c r="E20" s="11">
        <f t="shared" si="1"/>
        <v>-2.9577451151588763</v>
      </c>
      <c r="F20" s="11"/>
      <c r="G20" s="11"/>
      <c r="H20" s="11"/>
      <c r="I20" s="11">
        <f t="shared" si="6"/>
        <v>29.557255304988075</v>
      </c>
      <c r="J20" s="11">
        <f t="shared" si="7"/>
        <v>-10.391711089885243</v>
      </c>
      <c r="K20" s="11">
        <f t="shared" si="5"/>
        <v>23.969379836923988</v>
      </c>
      <c r="L20" s="11">
        <f t="shared" si="2"/>
        <v>21.011634721765112</v>
      </c>
      <c r="M20" s="11">
        <f t="shared" si="0"/>
        <v>5.8953437699796396</v>
      </c>
      <c r="N20" s="11">
        <f t="shared" si="3"/>
        <v>-88.67229694747607</v>
      </c>
    </row>
    <row r="21" spans="1:16" x14ac:dyDescent="0.3">
      <c r="A21">
        <v>12</v>
      </c>
      <c r="B21" s="11"/>
      <c r="C21" s="11"/>
      <c r="D21" s="11"/>
      <c r="E21" s="11">
        <f t="shared" si="1"/>
        <v>-2.9577451151588763</v>
      </c>
      <c r="F21" s="11"/>
      <c r="G21" s="11"/>
      <c r="H21" s="11"/>
      <c r="I21" s="11">
        <f t="shared" si="6"/>
        <v>29.557255304988075</v>
      </c>
      <c r="J21" s="11">
        <f t="shared" si="7"/>
        <v>-10.391711089885243</v>
      </c>
      <c r="K21" s="11">
        <f t="shared" si="5"/>
        <v>23.969379836923988</v>
      </c>
      <c r="L21" s="11">
        <f t="shared" si="2"/>
        <v>21.011634721765112</v>
      </c>
      <c r="M21" s="11">
        <f t="shared" si="0"/>
        <v>5.1917534965394889</v>
      </c>
      <c r="N21" s="11">
        <f t="shared" si="3"/>
        <v>-83.48054345093658</v>
      </c>
    </row>
    <row r="22" spans="1:16" x14ac:dyDescent="0.3">
      <c r="A22">
        <v>13</v>
      </c>
      <c r="B22" s="11"/>
      <c r="C22" s="11"/>
      <c r="D22" s="11"/>
      <c r="E22" s="11">
        <f t="shared" si="1"/>
        <v>-2.9577451151588763</v>
      </c>
      <c r="F22" s="11"/>
      <c r="G22" s="11"/>
      <c r="H22" s="11"/>
      <c r="I22" s="11">
        <f t="shared" si="6"/>
        <v>29.557255304988075</v>
      </c>
      <c r="J22" s="11">
        <f t="shared" si="7"/>
        <v>-10.391711089885243</v>
      </c>
      <c r="K22" s="11">
        <f t="shared" si="5"/>
        <v>23.969379836923988</v>
      </c>
      <c r="L22" s="11">
        <f t="shared" si="2"/>
        <v>21.011634721765112</v>
      </c>
      <c r="M22" s="11">
        <f t="shared" si="0"/>
        <v>4.5721344539884381</v>
      </c>
      <c r="N22" s="11">
        <f t="shared" si="3"/>
        <v>-78.90840899694814</v>
      </c>
    </row>
    <row r="23" spans="1:16" ht="15" thickBot="1" x14ac:dyDescent="0.35">
      <c r="A23">
        <v>14</v>
      </c>
      <c r="B23" s="11"/>
      <c r="C23" s="11"/>
      <c r="D23" s="11"/>
      <c r="E23" s="11">
        <f t="shared" si="1"/>
        <v>-2.9577451151588763</v>
      </c>
      <c r="F23" s="11"/>
      <c r="G23" s="11"/>
      <c r="H23" s="11"/>
      <c r="I23" s="11">
        <f t="shared" si="6"/>
        <v>29.557255304988075</v>
      </c>
      <c r="J23" s="11">
        <f t="shared" si="7"/>
        <v>-10.391711089885243</v>
      </c>
      <c r="K23" s="11">
        <f t="shared" si="5"/>
        <v>23.969379836923988</v>
      </c>
      <c r="L23" s="11">
        <f t="shared" si="2"/>
        <v>21.011634721765112</v>
      </c>
      <c r="M23" s="11">
        <f t="shared" si="0"/>
        <v>4.0264649466277209</v>
      </c>
      <c r="N23" s="11">
        <f t="shared" si="3"/>
        <v>-74.881944050320413</v>
      </c>
    </row>
    <row r="24" spans="1:16" ht="15" thickBot="1" x14ac:dyDescent="0.35">
      <c r="A24">
        <v>15</v>
      </c>
      <c r="B24" s="11"/>
      <c r="C24" s="11">
        <f>-WC</f>
        <v>16.795949637889862</v>
      </c>
      <c r="D24" s="11"/>
      <c r="E24" s="11">
        <f t="shared" si="1"/>
        <v>-2.9577451151588763</v>
      </c>
      <c r="F24" s="11"/>
      <c r="G24" s="11"/>
      <c r="H24" s="11"/>
      <c r="I24" s="11">
        <f t="shared" si="6"/>
        <v>29.557255304988075</v>
      </c>
      <c r="J24" s="11">
        <f t="shared" si="7"/>
        <v>-10.391711089885243</v>
      </c>
      <c r="K24" s="11">
        <f t="shared" si="5"/>
        <v>23.969379836923988</v>
      </c>
      <c r="L24" s="11">
        <f>C24+K24+G24+E24</f>
        <v>37.807584359654975</v>
      </c>
      <c r="M24" s="11">
        <f t="shared" si="0"/>
        <v>6.3804004875039055</v>
      </c>
      <c r="N24" s="13">
        <f>N23+M24</f>
        <v>-68.501543562816508</v>
      </c>
    </row>
    <row r="25" spans="1:16" x14ac:dyDescent="0.3">
      <c r="C25" s="3"/>
      <c r="D25" s="2"/>
      <c r="E25" s="4"/>
      <c r="F25" s="2"/>
      <c r="G25" s="1"/>
      <c r="H25" s="1"/>
    </row>
    <row r="26" spans="1:16" x14ac:dyDescent="0.3">
      <c r="C26" s="3"/>
      <c r="D26" s="2"/>
      <c r="E26" s="4"/>
      <c r="F26" s="2"/>
      <c r="G26" s="1"/>
      <c r="H26" s="1"/>
    </row>
    <row r="27" spans="1:16" x14ac:dyDescent="0.3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891540</xdr:colOff>
                    <xdr:row>25</xdr:row>
                    <xdr:rowOff>83820</xdr:rowOff>
                  </from>
                  <to>
                    <xdr:col>4</xdr:col>
                    <xdr:colOff>403860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1"/>
  <sheetViews>
    <sheetView workbookViewId="0">
      <selection sqref="A1:B21"/>
    </sheetView>
  </sheetViews>
  <sheetFormatPr defaultRowHeight="14.4" x14ac:dyDescent="0.3"/>
  <sheetData>
    <row r="1" spans="1:2" x14ac:dyDescent="0.3">
      <c r="A1">
        <v>-108</v>
      </c>
      <c r="B1">
        <v>4</v>
      </c>
    </row>
    <row r="2" spans="1:2" x14ac:dyDescent="0.3">
      <c r="A2">
        <v>-100</v>
      </c>
      <c r="B2">
        <v>4</v>
      </c>
    </row>
    <row r="3" spans="1:2" x14ac:dyDescent="0.3">
      <c r="A3">
        <v>-92</v>
      </c>
      <c r="B3">
        <v>15</v>
      </c>
    </row>
    <row r="4" spans="1:2" x14ac:dyDescent="0.3">
      <c r="A4">
        <v>-84</v>
      </c>
      <c r="B4">
        <v>19</v>
      </c>
    </row>
    <row r="5" spans="1:2" x14ac:dyDescent="0.3">
      <c r="A5">
        <v>-76</v>
      </c>
      <c r="B5">
        <v>30</v>
      </c>
    </row>
    <row r="6" spans="1:2" x14ac:dyDescent="0.3">
      <c r="A6">
        <v>-68</v>
      </c>
      <c r="B6">
        <v>46</v>
      </c>
    </row>
    <row r="7" spans="1:2" x14ac:dyDescent="0.3">
      <c r="A7">
        <v>-60</v>
      </c>
      <c r="B7">
        <v>71</v>
      </c>
    </row>
    <row r="8" spans="1:2" x14ac:dyDescent="0.3">
      <c r="A8">
        <v>-52</v>
      </c>
      <c r="B8">
        <v>99</v>
      </c>
    </row>
    <row r="9" spans="1:2" x14ac:dyDescent="0.3">
      <c r="A9">
        <v>-44</v>
      </c>
      <c r="B9">
        <v>107</v>
      </c>
    </row>
    <row r="10" spans="1:2" x14ac:dyDescent="0.3">
      <c r="A10">
        <v>-36</v>
      </c>
      <c r="B10">
        <v>117</v>
      </c>
    </row>
    <row r="11" spans="1:2" x14ac:dyDescent="0.3">
      <c r="A11">
        <v>-28</v>
      </c>
      <c r="B11">
        <v>147</v>
      </c>
    </row>
    <row r="12" spans="1:2" x14ac:dyDescent="0.3">
      <c r="A12">
        <v>-20</v>
      </c>
      <c r="B12">
        <v>95</v>
      </c>
    </row>
    <row r="13" spans="1:2" x14ac:dyDescent="0.3">
      <c r="A13">
        <v>-12</v>
      </c>
      <c r="B13">
        <v>94</v>
      </c>
    </row>
    <row r="14" spans="1:2" x14ac:dyDescent="0.3">
      <c r="A14">
        <v>-4</v>
      </c>
      <c r="B14">
        <v>50</v>
      </c>
    </row>
    <row r="15" spans="1:2" x14ac:dyDescent="0.3">
      <c r="A15">
        <v>4</v>
      </c>
      <c r="B15">
        <v>41</v>
      </c>
    </row>
    <row r="16" spans="1:2" x14ac:dyDescent="0.3">
      <c r="A16">
        <v>12</v>
      </c>
      <c r="B16">
        <v>27</v>
      </c>
    </row>
    <row r="17" spans="1:2" x14ac:dyDescent="0.3">
      <c r="A17">
        <v>20</v>
      </c>
      <c r="B17">
        <v>11</v>
      </c>
    </row>
    <row r="18" spans="1:2" x14ac:dyDescent="0.3">
      <c r="A18">
        <v>28</v>
      </c>
      <c r="B18">
        <v>11</v>
      </c>
    </row>
    <row r="19" spans="1:2" x14ac:dyDescent="0.3">
      <c r="A19">
        <v>36</v>
      </c>
      <c r="B19">
        <v>7</v>
      </c>
    </row>
    <row r="20" spans="1:2" x14ac:dyDescent="0.3">
      <c r="A20">
        <v>44</v>
      </c>
      <c r="B20">
        <v>2</v>
      </c>
    </row>
    <row r="21" spans="1:2" x14ac:dyDescent="0.3">
      <c r="A21">
        <v>52</v>
      </c>
      <c r="B2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Daniel Loh Guo Juin</cp:lastModifiedBy>
  <dcterms:created xsi:type="dcterms:W3CDTF">2013-10-29T18:00:12Z</dcterms:created>
  <dcterms:modified xsi:type="dcterms:W3CDTF">2020-07-26T15:14:23Z</dcterms:modified>
</cp:coreProperties>
</file>